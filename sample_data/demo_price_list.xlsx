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E1" t="n">
        <v>0.12</v>
      </c>
      <c r="F1" t="n">
        <v>0.18</v>
      </c>
      <c r="G1" t="n">
        <v>0.15</v>
      </c>
      <c r="H1" t="n">
        <v>0.2</v>
      </c>
      <c r="I1" t="n">
        <v>0.2</v>
      </c>
      <c r="J1" t="n">
        <v>0.22</v>
      </c>
      <c r="K1" t="n">
        <v>0.35</v>
      </c>
      <c r="L1" t="n">
        <v>0.25</v>
      </c>
      <c r="M1" t="n">
        <v>0.35</v>
      </c>
      <c r="N1" t="n">
        <v>0.15</v>
      </c>
    </row>
    <row r="2">
      <c r="B2" t="inlineStr">
        <is>
          <t>SKU</t>
        </is>
      </c>
      <c r="C2" t="inlineStr">
        <is>
          <t>GRANEL</t>
        </is>
      </c>
      <c r="D2" t="inlineStr">
        <is>
          <t>COSTO EMPRESA</t>
        </is>
      </c>
      <c r="E2" t="inlineStr">
        <is>
          <t>MAYORISTA
12%</t>
        </is>
      </c>
      <c r="F2" t="inlineStr">
        <is>
          <t>INSTITUCIONAL
18%</t>
        </is>
      </c>
      <c r="G2" t="inlineStr">
        <is>
          <t>CUENTAS CLAVE
15%</t>
        </is>
      </c>
      <c r="H2" t="inlineStr">
        <is>
          <t>MARCA BLANCA
20%</t>
        </is>
      </c>
      <c r="I2" t="inlineStr">
        <is>
          <t>CATERING
20%</t>
        </is>
      </c>
      <c r="J2" t="inlineStr">
        <is>
          <t>HOTELES - RESTAURANTES
22%</t>
        </is>
      </c>
      <c r="K2" t="inlineStr">
        <is>
          <t>AUTOSERVICIOS
35%</t>
        </is>
      </c>
      <c r="L2" t="inlineStr">
        <is>
          <t>ENTRETENIMIENTO
25%</t>
        </is>
      </c>
      <c r="M2" t="inlineStr">
        <is>
          <t>E-COMMERCE
35%</t>
        </is>
      </c>
      <c r="N2" t="inlineStr">
        <is>
          <t>DISTRIBUIDORES
15%</t>
        </is>
      </c>
    </row>
    <row r="3">
      <c r="B3" t="inlineStr">
        <is>
          <t>PT-901</t>
        </is>
      </c>
      <c r="C3" t="inlineStr">
        <is>
          <t>ARVEJA VERDE PARTIDA * 500 G - MARCA DEMO</t>
        </is>
      </c>
      <c r="D3" t="n">
        <v>1.8</v>
      </c>
      <c r="E3">
        <f>D3/(1-$E$1)</f>
        <v/>
      </c>
      <c r="F3">
        <f>D3/(1-$F$1)</f>
        <v/>
      </c>
      <c r="G3">
        <f>D3/(1-$G$1)</f>
        <v/>
      </c>
      <c r="H3">
        <f>D3/(1-$H$1)</f>
        <v/>
      </c>
      <c r="I3">
        <f>D3/(1-$I$1)</f>
        <v/>
      </c>
      <c r="J3">
        <f>D3/(1-$J$1)</f>
        <v/>
      </c>
      <c r="K3">
        <f>D3/(1-$K$1)</f>
        <v/>
      </c>
      <c r="L3">
        <f>D3/(1-$L$1)</f>
        <v/>
      </c>
      <c r="M3">
        <f>D3/(1-$M$1)</f>
        <v/>
      </c>
      <c r="N3">
        <f>D3/(1-$N$1)</f>
        <v/>
      </c>
    </row>
    <row r="4">
      <c r="B4" t="inlineStr">
        <is>
          <t>PT-902</t>
        </is>
      </c>
      <c r="C4" t="inlineStr">
        <is>
          <t>ARVEJA VERDE PARTIDA * 5 KG - MARCA DEMO</t>
        </is>
      </c>
      <c r="D4" t="n">
        <v>17.5</v>
      </c>
      <c r="E4">
        <f>D4/(1-$E$1)</f>
        <v/>
      </c>
      <c r="F4">
        <f>D4/(1-$F$1)</f>
        <v/>
      </c>
      <c r="G4">
        <f>D4/(1-$G$1)</f>
        <v/>
      </c>
      <c r="H4">
        <f>D4/(1-$H$1)</f>
        <v/>
      </c>
      <c r="I4">
        <f>D4/(1-$I$1)</f>
        <v/>
      </c>
      <c r="J4">
        <f>D4/(1-$J$1)</f>
        <v/>
      </c>
      <c r="K4">
        <f>D4/(1-$K$1)</f>
        <v/>
      </c>
      <c r="L4">
        <f>D4/(1-$L$1)</f>
        <v/>
      </c>
      <c r="M4">
        <f>D4/(1-$M$1)</f>
        <v/>
      </c>
      <c r="N4">
        <f>D4/(1-$N$1)</f>
        <v/>
      </c>
    </row>
    <row r="5">
      <c r="B5" t="inlineStr">
        <is>
          <t>PT-903</t>
        </is>
      </c>
      <c r="C5" t="inlineStr">
        <is>
          <t>LENTEJA * 500 G - MARCA DEMO</t>
        </is>
      </c>
      <c r="D5" t="n">
        <v>2.1</v>
      </c>
      <c r="E5">
        <f>D5/(1-$E$1)</f>
        <v/>
      </c>
      <c r="F5">
        <f>D5/(1-$F$1)</f>
        <v/>
      </c>
      <c r="G5">
        <f>D5/(1-$G$1)</f>
        <v/>
      </c>
      <c r="H5">
        <f>D5/(1-$H$1)</f>
        <v/>
      </c>
      <c r="I5">
        <f>D5/(1-$I$1)</f>
        <v/>
      </c>
      <c r="J5">
        <f>D5/(1-$J$1)</f>
        <v/>
      </c>
      <c r="K5">
        <f>D5/(1-$K$1)</f>
        <v/>
      </c>
      <c r="L5">
        <f>D5/(1-$L$1)</f>
        <v/>
      </c>
      <c r="M5">
        <f>D5/(1-$M$1)</f>
        <v/>
      </c>
      <c r="N5">
        <f>D5/(1-$N$1)</f>
        <v/>
      </c>
    </row>
    <row r="6">
      <c r="B6" t="inlineStr">
        <is>
          <t>PT-904</t>
        </is>
      </c>
      <c r="C6" t="inlineStr">
        <is>
          <t>FRIJOL CANARIO * 5 KG - MARCA DEMO</t>
        </is>
      </c>
      <c r="D6" t="n">
        <v>30</v>
      </c>
      <c r="E6">
        <f>D6/(1-$E$1)</f>
        <v/>
      </c>
      <c r="F6">
        <f>D6/(1-$F$1)</f>
        <v/>
      </c>
      <c r="G6">
        <f>D6/(1-$G$1)</f>
        <v/>
      </c>
      <c r="H6">
        <f>D6/(1-$H$1)</f>
        <v/>
      </c>
      <c r="I6">
        <f>D6/(1-$I$1)</f>
        <v/>
      </c>
      <c r="J6">
        <f>D6/(1-$J$1)</f>
        <v/>
      </c>
      <c r="K6">
        <f>D6/(1-$K$1)</f>
        <v/>
      </c>
      <c r="L6">
        <f>D6/(1-$L$1)</f>
        <v/>
      </c>
      <c r="M6">
        <f>D6/(1-$M$1)</f>
        <v/>
      </c>
      <c r="N6">
        <f>D6/(1-$N$1)</f>
        <v/>
      </c>
    </row>
    <row r="7">
      <c r="B7" t="inlineStr">
        <is>
          <t>PT-905</t>
        </is>
      </c>
      <c r="C7" t="inlineStr">
        <is>
          <t>QUINUA * 250 G - MARCA DEMO</t>
        </is>
      </c>
      <c r="D7" t="n">
        <v>2.4</v>
      </c>
      <c r="E7">
        <f>D7/(1-$E$1)</f>
        <v/>
      </c>
      <c r="F7">
        <f>D7/(1-$F$1)</f>
        <v/>
      </c>
      <c r="G7">
        <f>D7/(1-$G$1)</f>
        <v/>
      </c>
      <c r="H7">
        <f>D7/(1-$H$1)</f>
        <v/>
      </c>
      <c r="I7">
        <f>D7/(1-$I$1)</f>
        <v/>
      </c>
      <c r="J7">
        <f>D7/(1-$J$1)</f>
        <v/>
      </c>
      <c r="K7">
        <f>D7/(1-$K$1)</f>
        <v/>
      </c>
      <c r="L7">
        <f>D7/(1-$L$1)</f>
        <v/>
      </c>
      <c r="M7">
        <f>D7/(1-$M$1)</f>
        <v/>
      </c>
      <c r="N7">
        <f>D7/(1-$N$1)</f>
        <v/>
      </c>
    </row>
    <row r="8">
      <c r="B8" t="inlineStr">
        <is>
          <t>PT-906</t>
        </is>
      </c>
      <c r="C8" t="inlineStr">
        <is>
          <t>ARVEJA VERDE PARTIDA * 500 G - MARCA DEMO ECONOMICA</t>
        </is>
      </c>
      <c r="D8" t="n">
        <v>1.6</v>
      </c>
      <c r="E8" t="n">
        <v>1.818182</v>
      </c>
      <c r="F8" t="n">
        <v>1.95122</v>
      </c>
      <c r="G8" t="n">
        <v>1.882353</v>
      </c>
      <c r="H8" t="n">
        <v>2</v>
      </c>
      <c r="I8" t="n">
        <v>2</v>
      </c>
      <c r="J8" t="n">
        <v>2.051282</v>
      </c>
      <c r="K8" t="n">
        <v>2.461538</v>
      </c>
      <c r="L8" t="n">
        <v>2.133333</v>
      </c>
      <c r="M8" t="n">
        <v>2.461538</v>
      </c>
      <c r="N8" t="n">
        <v>1.882353</v>
      </c>
    </row>
    <row r="9">
      <c r="B9" t="inlineStr">
        <is>
          <t>MP-901</t>
        </is>
      </c>
      <c r="C9" t="inlineStr">
        <is>
          <t>ARVEJA VERDE PARTIDA</t>
        </is>
      </c>
      <c r="D9" t="n">
        <v>3.1</v>
      </c>
      <c r="E9">
        <f>D9/(1-$E$1)</f>
        <v/>
      </c>
      <c r="F9">
        <f>D9/(1-$F$1)</f>
        <v/>
      </c>
      <c r="G9">
        <f>D9/(1-$G$1)</f>
        <v/>
      </c>
      <c r="H9">
        <f>D9/(1-$H$1)</f>
        <v/>
      </c>
      <c r="I9">
        <f>D9/(1-$I$1)</f>
        <v/>
      </c>
      <c r="J9">
        <f>D9/(1-$J$1)</f>
        <v/>
      </c>
      <c r="K9">
        <f>D9/(1-$K$1)</f>
        <v/>
      </c>
      <c r="L9">
        <f>D9/(1-$L$1)</f>
        <v/>
      </c>
      <c r="M9">
        <f>D9/(1-$M$1)</f>
        <v/>
      </c>
      <c r="N9">
        <f>D9/(1-$N$1)</f>
        <v/>
      </c>
    </row>
    <row r="10">
      <c r="B10" t="inlineStr">
        <is>
          <t>MP-902</t>
        </is>
      </c>
      <c r="C10" t="inlineStr">
        <is>
          <t>LENTEJA</t>
        </is>
      </c>
      <c r="D10" t="n">
        <v>3.6</v>
      </c>
      <c r="E10">
        <f>D10/(1-$E$1)</f>
        <v/>
      </c>
      <c r="F10">
        <f>D10/(1-$F$1)</f>
        <v/>
      </c>
      <c r="G10">
        <f>D10/(1-$G$1)</f>
        <v/>
      </c>
      <c r="H10">
        <f>D10/(1-$H$1)</f>
        <v/>
      </c>
      <c r="I10">
        <f>D10/(1-$I$1)</f>
        <v/>
      </c>
      <c r="J10">
        <f>D10/(1-$J$1)</f>
        <v/>
      </c>
      <c r="K10">
        <f>D10/(1-$K$1)</f>
        <v/>
      </c>
      <c r="L10">
        <f>D10/(1-$L$1)</f>
        <v/>
      </c>
      <c r="M10">
        <f>D10/(1-$M$1)</f>
        <v/>
      </c>
      <c r="N10">
        <f>D10/(1-$N$1)</f>
        <v/>
      </c>
    </row>
    <row r="11">
      <c r="B11" t="inlineStr">
        <is>
          <t>MP-903</t>
        </is>
      </c>
      <c r="C11" t="inlineStr">
        <is>
          <t>FRIJOL CANARIO</t>
        </is>
      </c>
      <c r="D11" t="n">
        <v>5.8</v>
      </c>
      <c r="E11">
        <f>D11/(1-$E$1)</f>
        <v/>
      </c>
      <c r="F11">
        <f>D11/(1-$F$1)</f>
        <v/>
      </c>
      <c r="G11">
        <f>D11/(1-$G$1)</f>
        <v/>
      </c>
      <c r="H11">
        <f>D11/(1-$H$1)</f>
        <v/>
      </c>
      <c r="I11">
        <f>D11/(1-$I$1)</f>
        <v/>
      </c>
      <c r="J11">
        <f>D11/(1-$J$1)</f>
        <v/>
      </c>
      <c r="K11">
        <f>D11/(1-$K$1)</f>
        <v/>
      </c>
      <c r="L11">
        <f>D11/(1-$L$1)</f>
        <v/>
      </c>
      <c r="M11">
        <f>D11/(1-$M$1)</f>
        <v/>
      </c>
      <c r="N11">
        <f>D11/(1-$N$1)</f>
        <v/>
      </c>
    </row>
    <row r="12">
      <c r="B12" t="inlineStr">
        <is>
          <t>GR-901</t>
        </is>
      </c>
      <c r="C12" t="inlineStr">
        <is>
          <t>QUINUA * GRANEL - DEMO</t>
        </is>
      </c>
      <c r="D12" t="n">
        <v>8.9</v>
      </c>
      <c r="E12">
        <f>D12/(1-$E$1)</f>
        <v/>
      </c>
      <c r="F12">
        <f>D12/(1-$F$1)</f>
        <v/>
      </c>
      <c r="G12">
        <f>D12/(1-$G$1)</f>
        <v/>
      </c>
      <c r="H12">
        <f>D12/(1-$H$1)</f>
        <v/>
      </c>
      <c r="I12">
        <f>D12/(1-$I$1)</f>
        <v/>
      </c>
      <c r="J12">
        <f>D12/(1-$J$1)</f>
        <v/>
      </c>
      <c r="K12">
        <f>D12/(1-$K$1)</f>
        <v/>
      </c>
      <c r="L12">
        <f>D12/(1-$L$1)</f>
        <v/>
      </c>
      <c r="M12">
        <f>D12/(1-$M$1)</f>
        <v/>
      </c>
      <c r="N12">
        <f>D12/(1-$N$1)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2026-10-12T17:01:02Z</dcterms:created>
  <dcterms:modified xsi:type="dcterms:W3CDTF">2026-10-12T17:01:02Z</dcterms:modified>
</cp:coreProperties>
</file>